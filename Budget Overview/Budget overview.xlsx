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fre\Documents\"/>
    </mc:Choice>
  </mc:AlternateContent>
  <xr:revisionPtr revIDLastSave="0" documentId="13_ncr:1_{815C975A-C3CA-401F-B42A-E285EC846826}" xr6:coauthVersionLast="47" xr6:coauthVersionMax="47" xr10:uidLastSave="{00000000-0000-0000-0000-000000000000}"/>
  <bookViews>
    <workbookView xWindow="-120" yWindow="-120" windowWidth="20730" windowHeight="11160" xr2:uid="{A49EB233-F6DC-4B7A-8424-6F3C607F2D5E}"/>
  </bookViews>
  <sheets>
    <sheet name="Project Budget" sheetId="1" r:id="rId1"/>
    <sheet name="Charts &amp; Visuals" sheetId="3" r:id="rId2"/>
    <sheet name="Budget vs Actual" sheetId="4" r:id="rId3"/>
    <sheet name="Financial Tracker" sheetId="5" r:id="rId4"/>
    <sheet name="Dashboard" sheetId="6" r:id="rId5"/>
  </sheets>
  <definedNames>
    <definedName name="_xlchart.v1.0" hidden="1">'Charts &amp; Visuals'!$B$46:$B$49</definedName>
    <definedName name="_xlchart.v1.1" hidden="1">'Charts &amp; Visuals'!$C$45</definedName>
    <definedName name="_xlchart.v1.2" hidden="1">'Charts &amp; Visuals'!$C$46:$C$49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F10" i="6"/>
  <c r="F11" i="6"/>
  <c r="F9" i="6"/>
  <c r="F7" i="6"/>
  <c r="F6" i="6"/>
  <c r="C7" i="6"/>
  <c r="H29" i="5"/>
  <c r="M29" i="5"/>
  <c r="N29" i="5"/>
  <c r="L29" i="5"/>
  <c r="K29" i="5"/>
  <c r="J29" i="5"/>
  <c r="I29" i="5"/>
  <c r="J27" i="5"/>
  <c r="N27" i="5"/>
  <c r="M27" i="5"/>
  <c r="L27" i="5"/>
  <c r="K27" i="5"/>
  <c r="I27" i="5"/>
  <c r="H27" i="5"/>
  <c r="G27" i="5"/>
  <c r="F27" i="5"/>
  <c r="E27" i="5"/>
  <c r="N24" i="5"/>
  <c r="N26" i="5"/>
  <c r="N25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F24" i="4"/>
  <c r="F23" i="4"/>
  <c r="F22" i="4"/>
  <c r="F21" i="4"/>
  <c r="F20" i="4"/>
  <c r="F19" i="4"/>
  <c r="F18" i="4"/>
  <c r="F17" i="4"/>
  <c r="F16" i="4"/>
  <c r="E25" i="4" s="1"/>
  <c r="F25" i="4" s="1"/>
  <c r="F15" i="4"/>
  <c r="F14" i="4"/>
  <c r="F13" i="4"/>
  <c r="F12" i="4"/>
  <c r="F11" i="4"/>
  <c r="F10" i="4"/>
  <c r="F9" i="4"/>
  <c r="F8" i="4"/>
  <c r="F7" i="4"/>
  <c r="F6" i="4"/>
  <c r="F5" i="4"/>
  <c r="F13" i="6" l="1"/>
</calcChain>
</file>

<file path=xl/sharedStrings.xml><?xml version="1.0" encoding="utf-8"?>
<sst xmlns="http://schemas.openxmlformats.org/spreadsheetml/2006/main" count="259" uniqueCount="145">
  <si>
    <t>Category</t>
  </si>
  <si>
    <t>Role/Item</t>
  </si>
  <si>
    <t>Details</t>
  </si>
  <si>
    <t>Calculation</t>
  </si>
  <si>
    <t>Subtotal</t>
  </si>
  <si>
    <t>(All roles: 20 hrs/week * 32 weeks * Rate)</t>
  </si>
  <si>
    <t>LABOR</t>
  </si>
  <si>
    <t>Project Manager</t>
  </si>
  <si>
    <t>Senior Developer</t>
  </si>
  <si>
    <t xml:space="preserve">Back-end Developer	</t>
  </si>
  <si>
    <t>Front-end Developer</t>
  </si>
  <si>
    <t>R&amp;D Lead</t>
  </si>
  <si>
    <t>Head of Mfg &amp; Logistics</t>
  </si>
  <si>
    <t>Head of Marketing</t>
  </si>
  <si>
    <t>Head of Sales</t>
  </si>
  <si>
    <t>Design Lead</t>
  </si>
  <si>
    <t>Business Analyst</t>
  </si>
  <si>
    <t>Tester</t>
  </si>
  <si>
    <t>Labor Subtotal</t>
  </si>
  <si>
    <t>SOFTWARE</t>
  </si>
  <si>
    <t>Microsoft 365</t>
  </si>
  <si>
    <t>ClickUp</t>
  </si>
  <si>
    <t>Adobe CC</t>
  </si>
  <si>
    <t>CAD Software</t>
  </si>
  <si>
    <t xml:space="preserve">Hosting &amp; Domain	</t>
  </si>
  <si>
    <t>Slack/Zoom</t>
  </si>
  <si>
    <r>
      <rPr>
        <b/>
        <sz val="11"/>
        <color theme="1"/>
        <rFont val="Aptos Narrow"/>
        <family val="2"/>
        <scheme val="minor"/>
      </rPr>
      <t>Software Subtotal</t>
    </r>
    <r>
      <rPr>
        <sz val="11"/>
        <color theme="1"/>
        <rFont val="Aptos Narrow"/>
        <family val="2"/>
        <scheme val="minor"/>
      </rPr>
      <t xml:space="preserve">	</t>
    </r>
  </si>
  <si>
    <t xml:space="preserve">
MATERIALS</t>
  </si>
  <si>
    <t>Biodegradable Polymer Pellets</t>
  </si>
  <si>
    <t xml:space="preserve">Silicone for Seals &amp; Lid	</t>
  </si>
  <si>
    <t>Stainless Steel Cap</t>
  </si>
  <si>
    <t>Material Subtotal</t>
  </si>
  <si>
    <r>
      <rPr>
        <b/>
        <sz val="11"/>
        <color theme="0"/>
        <rFont val="Aptos Narrow"/>
        <family val="2"/>
        <scheme val="minor"/>
      </rPr>
      <t>BUDGET SUMMARY</t>
    </r>
    <r>
      <rPr>
        <sz val="11"/>
        <color theme="0"/>
        <rFont val="Aptos Narrow"/>
        <family val="2"/>
        <scheme val="minor"/>
      </rPr>
      <t xml:space="preserve">	</t>
    </r>
  </si>
  <si>
    <t>Cost Baseline</t>
  </si>
  <si>
    <t>Contingency Reserve</t>
  </si>
  <si>
    <t xml:space="preserve">Budget at Completion (BAC)	</t>
  </si>
  <si>
    <t>Management Reserve</t>
  </si>
  <si>
    <t>Total Funding Required</t>
  </si>
  <si>
    <t>Rate: $90/hr</t>
  </si>
  <si>
    <t>Rate: $95/hr</t>
  </si>
  <si>
    <t>Rate: $75/hr</t>
  </si>
  <si>
    <t>Rate: $70/hr</t>
  </si>
  <si>
    <t>Rate: $85/hr</t>
  </si>
  <si>
    <t>Rate: $80/hr</t>
  </si>
  <si>
    <t>Rate: $65/hr</t>
  </si>
  <si>
    <t>Rate: $60/hr</t>
  </si>
  <si>
    <t>Rate: $55/hr</t>
  </si>
  <si>
    <t>10 users * $12/month</t>
  </si>
  <si>
    <t>$55/month</t>
  </si>
  <si>
    <t>$85 per month</t>
  </si>
  <si>
    <t>$85/month</t>
  </si>
  <si>
    <t xml:space="preserve">10 users * $8.75/month	</t>
  </si>
  <si>
    <t>Needed from Day 1 (covers full project)</t>
  </si>
  <si>
    <t>Needed from Day 1 (8 months)</t>
  </si>
  <si>
    <t>Needed in Month 2 for 5 months (Design &amp; UI Phase)</t>
  </si>
  <si>
    <t>Needed in Month 4 for 3 months (Prototyping Phase)</t>
  </si>
  <si>
    <t>Needed in Month 6 for 3 months (Testing &amp; Launch)</t>
  </si>
  <si>
    <t>$25/kg</t>
  </si>
  <si>
    <t>$40/kg</t>
  </si>
  <si>
    <t>$1.50 each</t>
  </si>
  <si>
    <t>Ordered in Month 5</t>
  </si>
  <si>
    <t>Ordered in Month 6</t>
  </si>
  <si>
    <t>Ordered in Month 7</t>
  </si>
  <si>
    <t>640hrs * $90</t>
  </si>
  <si>
    <t>640hrs * 95</t>
  </si>
  <si>
    <t>640hrs * $75</t>
  </si>
  <si>
    <t>640hrs * $70</t>
  </si>
  <si>
    <t>640hrs * $85</t>
  </si>
  <si>
    <t>640hrs * $80</t>
  </si>
  <si>
    <t>640hrs * $65</t>
  </si>
  <si>
    <t>640hrs * $60</t>
  </si>
  <si>
    <t>640hrs * $55</t>
  </si>
  <si>
    <t>For 400kg                    $10,000</t>
  </si>
  <si>
    <t>For 50kg                       $2,000</t>
  </si>
  <si>
    <t>For 2,000 units           $3,000</t>
  </si>
  <si>
    <t>Cost Baseline + Contingency</t>
  </si>
  <si>
    <t xml:space="preserve">BAC + Management Reserve	</t>
  </si>
  <si>
    <t>Amount</t>
  </si>
  <si>
    <t>Labor</t>
  </si>
  <si>
    <t>Software</t>
  </si>
  <si>
    <t>Materials</t>
  </si>
  <si>
    <t>Labor Cost Breakdown</t>
  </si>
  <si>
    <t>Role</t>
  </si>
  <si>
    <t>Total Cost</t>
  </si>
  <si>
    <t>Budget Build-Up</t>
  </si>
  <si>
    <t>Cost Breakdown</t>
  </si>
  <si>
    <t>Charts &amp; Visuals</t>
  </si>
  <si>
    <t>Eco-Friendly Water Bottle Project Budget</t>
  </si>
  <si>
    <t>Budget</t>
  </si>
  <si>
    <t>Actual</t>
  </si>
  <si>
    <t>Variance</t>
  </si>
  <si>
    <t>Description</t>
  </si>
  <si>
    <t>Sofware</t>
  </si>
  <si>
    <t>Hosting &amp; Domain</t>
  </si>
  <si>
    <t>Silicone for Seals &amp; Lid</t>
  </si>
  <si>
    <t>Contingency</t>
  </si>
  <si>
    <t>Risk/Unexpected Costs</t>
  </si>
  <si>
    <t>Monthly Project Financial Tracker</t>
  </si>
  <si>
    <t>Apr Actual</t>
  </si>
  <si>
    <t>May Actual</t>
  </si>
  <si>
    <t>Jun Actual</t>
  </si>
  <si>
    <t>Jul Actual</t>
  </si>
  <si>
    <t>Aug Actual</t>
  </si>
  <si>
    <t>Sep Actual</t>
  </si>
  <si>
    <t>Oct Actual</t>
  </si>
  <si>
    <t>Nov Actual</t>
  </si>
  <si>
    <t>YTD Actual</t>
  </si>
  <si>
    <t>Back-end Developer</t>
  </si>
  <si>
    <t>Material</t>
  </si>
  <si>
    <t>10 users * $12.50/month</t>
  </si>
  <si>
    <t xml:space="preserve">$524800 + $3,445 + $15000 </t>
  </si>
  <si>
    <r>
      <t xml:space="preserve">10% of Cost Baseline </t>
    </r>
    <r>
      <rPr>
        <b/>
        <sz val="11"/>
        <color theme="1"/>
        <rFont val="Aptos Narrow"/>
        <family val="2"/>
        <scheme val="minor"/>
      </rPr>
      <t>($543,245</t>
    </r>
    <r>
      <rPr>
        <sz val="11"/>
        <color theme="1"/>
        <rFont val="Aptos Narrow"/>
        <family val="2"/>
        <scheme val="minor"/>
      </rPr>
      <t>)</t>
    </r>
  </si>
  <si>
    <t>7% of BAC ($597,582)</t>
  </si>
  <si>
    <t>Project Budget</t>
  </si>
  <si>
    <t>Risk Management Reserve</t>
  </si>
  <si>
    <t>Grand Total</t>
  </si>
  <si>
    <t>Total Project Budget</t>
  </si>
  <si>
    <t>Budget vs Actual</t>
  </si>
  <si>
    <t>Total Budget</t>
  </si>
  <si>
    <t>Total Spent (YTD)</t>
  </si>
  <si>
    <t>Remaining Budget</t>
  </si>
  <si>
    <t>Contingency Used</t>
  </si>
  <si>
    <t>Contingency Remaining</t>
  </si>
  <si>
    <t>Project Financial Health Dashboard</t>
  </si>
  <si>
    <t>Month</t>
  </si>
  <si>
    <t>Total Spent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</si>
  <si>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</si>
  <si>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</si>
  <si>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</si>
  <si>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</si>
  <si>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</si>
  <si>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</si>
  <si>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</si>
  <si>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</si>
  <si>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Monthly Burn Rate</t>
  </si>
  <si>
    <t>KPI</t>
  </si>
  <si>
    <t>Result</t>
  </si>
  <si>
    <t>Final Actual Cost</t>
  </si>
  <si>
    <t>Final Variance</t>
  </si>
  <si>
    <t>Contingency Budget</t>
  </si>
  <si>
    <t>Contingency Efficiency</t>
  </si>
  <si>
    <t>Largest Cost Overrun</t>
  </si>
  <si>
    <t>Budget Forecast Accuracy</t>
  </si>
  <si>
    <t>Project Financial Performance Summary</t>
  </si>
  <si>
    <t>Budget vs. Actual Variance Analysis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</si>
</sst>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_);[Red]\(&quot;$&quot;#,##0.0\)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7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3" fillId="3" borderId="0" xfId="0" applyFont="1" applyFill="1"/>
    <xf numFmtId="0" fontId="2" fillId="0" borderId="0" xfId="0" applyFo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2" borderId="1" xfId="0" applyFill="1" applyBorder="1"/>
    <xf numFmtId="6" fontId="0" fillId="0" borderId="0" xfId="0" applyNumberFormat="1"/>
    <xf numFmtId="6" fontId="2" fillId="0" borderId="0" xfId="0" applyNumberFormat="1" applyFont="1"/>
    <xf numFmtId="6" fontId="0" fillId="0" borderId="0" xfId="0" applyNumberFormat="1" applyAlignment="1">
      <alignment horizontal="right"/>
    </xf>
    <xf numFmtId="6" fontId="2" fillId="2" borderId="0" xfId="0" applyNumberFormat="1" applyFont="1" applyFill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0" fontId="3" fillId="3" borderId="1" xfId="0" applyFont="1" applyFill="1" applyBorder="1"/>
    <xf numFmtId="0" fontId="5" fillId="4" borderId="0" xfId="0" applyFont="1" applyFill="1" applyAlignment="1">
      <alignment horizontal="center"/>
    </xf>
    <xf numFmtId="3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4" borderId="5" xfId="0" applyFill="1" applyBorder="1"/>
    <xf numFmtId="6" fontId="0" fillId="0" borderId="1" xfId="1" applyNumberFormat="1" applyFont="1" applyBorder="1"/>
    <xf numFmtId="6" fontId="0" fillId="5" borderId="1" xfId="0" applyNumberFormat="1" applyFill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8" fontId="0" fillId="0" borderId="1" xfId="0" applyNumberFormat="1" applyBorder="1"/>
    <xf numFmtId="0" fontId="0" fillId="0" borderId="1" xfId="0" applyBorder="1" applyAlignment="1">
      <alignment wrapText="1"/>
    </xf>
    <xf numFmtId="6" fontId="0" fillId="4" borderId="1" xfId="0" applyNumberFormat="1" applyFill="1" applyBorder="1"/>
    <xf numFmtId="6" fontId="9" fillId="5" borderId="1" xfId="0" applyNumberFormat="1" applyFont="1" applyFill="1" applyBorder="1"/>
    <xf numFmtId="0" fontId="2" fillId="2" borderId="1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4" borderId="11" xfId="0" applyFont="1" applyFill="1" applyBorder="1"/>
    <xf numFmtId="0" fontId="4" fillId="4" borderId="12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4" borderId="16" xfId="0" applyFont="1" applyFill="1" applyBorder="1"/>
    <xf numFmtId="0" fontId="0" fillId="0" borderId="17" xfId="0" applyBorder="1"/>
    <xf numFmtId="0" fontId="0" fillId="0" borderId="18" xfId="0" applyBorder="1"/>
    <xf numFmtId="0" fontId="4" fillId="4" borderId="19" xfId="0" applyFont="1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1" xfId="0" applyFont="1" applyBorder="1"/>
    <xf numFmtId="6" fontId="2" fillId="0" borderId="1" xfId="0" applyNumberFormat="1" applyFont="1" applyBorder="1"/>
    <xf numFmtId="164" fontId="2" fillId="0" borderId="1" xfId="0" applyNumberFormat="1" applyFont="1" applyBorder="1"/>
    <xf numFmtId="9" fontId="0" fillId="0" borderId="1" xfId="0" applyNumberFormat="1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6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7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0" fillId="6" borderId="26" xfId="0" applyFont="1" applyFill="1" applyBorder="1" applyAlignment="1">
      <alignment horizontal="center"/>
    </xf>
    <xf numFmtId="0" fontId="10" fillId="6" borderId="27" xfId="0" applyFont="1" applyFill="1" applyBorder="1" applyAlignment="1">
      <alignment horizontal="center"/>
    </xf>
    <xf numFmtId="0" fontId="10" fillId="6" borderId="28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6" borderId="24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'Charts &amp; Visuals'!$C$26</c:f>
              <c:strCache>
                <c:ptCount val="1"/>
                <c:pt idx="0">
                  <c:v>Total 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&amp; Visuals'!$B$27:$B$37</c:f>
              <c:strCache>
                <c:ptCount val="11"/>
                <c:pt idx="0">
                  <c:v>Project Manager</c:v>
                </c:pt>
                <c:pt idx="1">
                  <c:v>Senior Developer</c:v>
                </c:pt>
                <c:pt idx="2">
                  <c:v>Back-end Developer	</c:v>
                </c:pt>
                <c:pt idx="3">
                  <c:v>Front-end Developer</c:v>
                </c:pt>
                <c:pt idx="4">
                  <c:v>R&amp;D Lead</c:v>
                </c:pt>
                <c:pt idx="5">
                  <c:v>Head of Mfg &amp; Logistics</c:v>
                </c:pt>
                <c:pt idx="6">
                  <c:v>Head of Marketing</c:v>
                </c:pt>
                <c:pt idx="7">
                  <c:v>Head of Sales</c:v>
                </c:pt>
                <c:pt idx="8">
                  <c:v>Design Lead</c:v>
                </c:pt>
                <c:pt idx="9">
                  <c:v>Business Analyst</c:v>
                </c:pt>
                <c:pt idx="10">
                  <c:v>Tester</c:v>
                </c:pt>
              </c:strCache>
            </c:strRef>
          </c:cat>
          <c:val>
            <c:numRef>
              <c:f>'Charts &amp; Visuals'!$C$27:$C$37</c:f>
              <c:numCache>
                <c:formatCode>"$"#,##0_);[Red]\("$"#,##0\)</c:formatCode>
                <c:ptCount val="11"/>
                <c:pt idx="0">
                  <c:v>57600</c:v>
                </c:pt>
                <c:pt idx="1">
                  <c:v>60800</c:v>
                </c:pt>
                <c:pt idx="2">
                  <c:v>48000</c:v>
                </c:pt>
                <c:pt idx="3">
                  <c:v>44800</c:v>
                </c:pt>
                <c:pt idx="4">
                  <c:v>54400</c:v>
                </c:pt>
                <c:pt idx="5">
                  <c:v>51200</c:v>
                </c:pt>
                <c:pt idx="6">
                  <c:v>48000</c:v>
                </c:pt>
                <c:pt idx="7">
                  <c:v>44800</c:v>
                </c:pt>
                <c:pt idx="8">
                  <c:v>41600</c:v>
                </c:pt>
                <c:pt idx="9">
                  <c:v>38400</c:v>
                </c:pt>
                <c:pt idx="10">
                  <c:v>35200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6-4E69-A0C5-56B5B7893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2682560"/>
        <c:axId val="1402681600"/>
      </c:barChart>
      <c:catAx>
        <c:axId val="1402682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81600"/>
        <c:crosses val="autoZero"/>
        <c:auto val="1"/>
        <c:lblAlgn val="ctr"/>
        <c:lblOffset val="100"/>
        <c:noMultiLvlLbl val="0"/>
      </c:catAx>
      <c:valAx>
        <c:axId val="140268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8256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'Charts &amp; Visuals'!$C$5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83-4FC7-8ECD-E49CD1E8B6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37-4DB2-9177-705DC2D19DA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437-4DB2-9177-705DC2D19DAE}"/>
              </c:ext>
            </c:extLst>
          </c:dPt>
          <c:dLbls>
            <c:dLbl>
              <c:idx val="1"/>
              <c:layout>
                <c:manualLayout>
                  <c:x val="-3.3333333333333437E-2"/>
                  <c:y val="-9.25925925925925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37-4DB2-9177-705DC2D19DAE}"/>
                </c:ext>
              </c:extLst>
            </c:dLbl>
            <c:dLbl>
              <c:idx val="2"/>
              <c:layout>
                <c:manualLayout>
                  <c:x val="5.8333333333333334E-2"/>
                  <c:y val="-7.87037037037037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37-4DB2-9177-705DC2D19D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&amp; Visuals'!$B$6:$B$8</c:f>
              <c:strCache>
                <c:ptCount val="3"/>
                <c:pt idx="0">
                  <c:v>Labor</c:v>
                </c:pt>
                <c:pt idx="1">
                  <c:v>Software</c:v>
                </c:pt>
                <c:pt idx="2">
                  <c:v>Materials</c:v>
                </c:pt>
              </c:strCache>
            </c:strRef>
          </c:cat>
          <c:val>
            <c:numRef>
              <c:f>'Charts &amp; Visuals'!$C$6:$C$8</c:f>
              <c:numCache>
                <c:formatCode>"$"#,##0_);[Red]\("$"#,##0\)</c:formatCode>
                <c:ptCount val="3"/>
                <c:pt idx="0">
                  <c:v>565200</c:v>
                </c:pt>
                <c:pt idx="1">
                  <c:v>3445</c:v>
                </c:pt>
                <c:pt idx="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7-4DB2-9177-705DC2D19D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Budget vs. Actual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Dashboard!$C$17</c:f>
              <c:strCache>
                <c:ptCount val="1"/>
                <c:pt idx="0">
                  <c:v>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Dashboard!$B$18:$B$20</c:f>
              <c:strCache>
                <c:ptCount val="3"/>
                <c:pt idx="0">
                  <c:v>Labor</c:v>
                </c:pt>
                <c:pt idx="1">
                  <c:v>Software</c:v>
                </c:pt>
                <c:pt idx="2">
                  <c:v>Materials</c:v>
                </c:pt>
              </c:strCache>
            </c:strRef>
          </c:cat>
          <c:val>
            <c:numRef>
              <c:f>Dashboard!$C$18:$C$20</c:f>
              <c:numCache>
                <c:formatCode>"$"#,##0_);[Red]\("$"#,##0\)</c:formatCode>
                <c:ptCount val="3"/>
                <c:pt idx="0">
                  <c:v>524800</c:v>
                </c:pt>
                <c:pt idx="1">
                  <c:v>3445</c:v>
                </c:pt>
                <c:pt idx="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5-4D3F-A666-53D26FDB64BB}"/>
            </c:ext>
          </c:extLst>
        </c:ser>
        <c:ser>
          <c:idx val="1"/>
          <c:order val="1"/>
          <c:tx>
            <c:strRef>
              <c:f>Dashboard!$D$17</c:f>
              <c:strCache>
                <c:ptCount val="1"/>
                <c:pt idx="0">
                  <c:v>YTD 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Dashboard!$B$18:$B$20</c:f>
              <c:strCache>
                <c:ptCount val="3"/>
                <c:pt idx="0">
                  <c:v>Labor</c:v>
                </c:pt>
                <c:pt idx="1">
                  <c:v>Software</c:v>
                </c:pt>
                <c:pt idx="2">
                  <c:v>Materials</c:v>
                </c:pt>
              </c:strCache>
            </c:strRef>
          </c:cat>
          <c:val>
            <c:numRef>
              <c:f>Dashboard!$D$18:$D$20</c:f>
              <c:numCache>
                <c:formatCode>"$"#,##0_);[Red]\("$"#,##0\)</c:formatCode>
                <c:ptCount val="3"/>
                <c:pt idx="0">
                  <c:v>526940</c:v>
                </c:pt>
                <c:pt idx="1">
                  <c:v>3445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5-4D3F-A666-53D26FDB64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19966576"/>
        <c:axId val="932162144"/>
      </c:barChart>
      <c:catAx>
        <c:axId val="71996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62144"/>
        <c:crosses val="autoZero"/>
        <c:auto val="1"/>
        <c:lblAlgn val="ctr"/>
        <c:lblOffset val="100"/>
        <c:noMultiLvlLbl val="0"/>
      </c:catAx>
      <c:valAx>
        <c:axId val="9321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6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Dashboard!$C$36</c:f>
              <c:strCache>
                <c:ptCount val="1"/>
                <c:pt idx="0">
                  <c:v>Total Spent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Dashboard!$B$37:$B$44</c:f>
              <c:strCache>
                <c:ptCount val="8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</c:strCache>
            </c:strRef>
          </c:cat>
          <c:val>
            <c:numRef>
              <c:f>Dashboard!$C$37:$C$44</c:f>
              <c:numCache>
                <c:formatCode>"$"#,##0_);[Red]\("$"#,##0\)</c:formatCode>
                <c:ptCount val="8"/>
                <c:pt idx="0">
                  <c:v>65633</c:v>
                </c:pt>
                <c:pt idx="1">
                  <c:v>65688</c:v>
                </c:pt>
                <c:pt idx="2">
                  <c:v>65688</c:v>
                </c:pt>
                <c:pt idx="3">
                  <c:v>66253</c:v>
                </c:pt>
                <c:pt idx="4">
                  <c:v>80653</c:v>
                </c:pt>
                <c:pt idx="5">
                  <c:v>68738</c:v>
                </c:pt>
                <c:pt idx="6">
                  <c:v>71208</c:v>
                </c:pt>
                <c:pt idx="7">
                  <c:v>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A-471B-8EBC-536CB363B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003696"/>
        <c:axId val="1191030096"/>
      </c:lineChart>
      <c:catAx>
        <c:axId val="119100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30096"/>
        <c:crosses val="autoZero"/>
        <c:auto val="1"/>
        <c:lblAlgn val="ctr"/>
        <c:lblOffset val="100"/>
        <c:noMultiLvlLbl val="0"/>
      </c:catAx>
      <c:valAx>
        <c:axId val="1191030096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Eco-Friendly Water BottleProject Budget Build-Up</a:t>
            </a:r>
            <a:endParaRPr lang="en-US" sz="14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D0BEE455-337B-4187-A053-2CBFC2FFCD45}">
          <cx:tx>
            <cx:txData>
              <cx:f>_xlchart.v1.1</cx:f>
              <cx:v>Amount</cx:v>
            </cx:txData>
          </cx:tx>
          <cx:dataLabels pos="inEnd">
            <cx:numFmt formatCode="$#,##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0"/>
            <cx:subtotals>
              <cx:idx val="0"/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25</xdr:row>
      <xdr:rowOff>9525</xdr:rowOff>
    </xdr:from>
    <xdr:to>
      <xdr:col>12</xdr:col>
      <xdr:colOff>323850</xdr:colOff>
      <xdr:row>39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E8D763-0461-5A9B-D7C9-FC3DB230F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44</xdr:row>
      <xdr:rowOff>9525</xdr:rowOff>
    </xdr:from>
    <xdr:to>
      <xdr:col>12</xdr:col>
      <xdr:colOff>314325</xdr:colOff>
      <xdr:row>58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9AD254B-C5A8-573A-0094-20AF7BFA51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1075" y="8867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611188</xdr:colOff>
      <xdr:row>4</xdr:row>
      <xdr:rowOff>453</xdr:rowOff>
    </xdr:from>
    <xdr:to>
      <xdr:col>12</xdr:col>
      <xdr:colOff>284616</xdr:colOff>
      <xdr:row>18</xdr:row>
      <xdr:rowOff>44903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B8F66-4079-F051-38B8-E2482D0B9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16</xdr:row>
      <xdr:rowOff>9525</xdr:rowOff>
    </xdr:from>
    <xdr:to>
      <xdr:col>9</xdr:col>
      <xdr:colOff>66675</xdr:colOff>
      <xdr:row>28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9692C-44E9-C88A-E654-296889631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752475</xdr:colOff>
      <xdr:row>35</xdr:row>
      <xdr:rowOff>9525</xdr:rowOff>
    </xdr:from>
    <xdr:to>
      <xdr:col>8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665DC4-2FC6-988B-73A1-622ABD48E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DB0D-0388-40AD-A767-3D5261C419DE}">
  <dimension ref="B1:F34"/>
  <sheetViews>
    <sheetView tabSelected="1" zoomScaleNormal="100" workbookViewId="0">
      <pane xSplit="1" ySplit="2" topLeftCell="B21" activePane="bottomRight" state="frozen"/>
      <selection pane="topRight" activeCell="B1" sqref="B1"/>
      <selection pane="bottomLeft" activeCell="A6" sqref="A6"/>
      <selection pane="bottomRight" activeCell="H9" sqref="H9"/>
    </sheetView>
  </sheetViews>
  <sheetFormatPr defaultRowHeight="15" x14ac:dyDescent="0.25"/>
  <cols>
    <col min="1" max="1" width="9.140625" customWidth="1"/>
    <col min="2" max="2" width="24" customWidth="1"/>
    <col min="3" max="3" width="30.28515625" customWidth="1"/>
    <col min="4" max="4" width="24" customWidth="1"/>
    <col min="5" max="5" width="28.7109375" customWidth="1"/>
    <col min="6" max="6" width="24" customWidth="1"/>
  </cols>
  <sheetData>
    <row r="1" spans="2:6" ht="24.75" customHeight="1" x14ac:dyDescent="0.4">
      <c r="B1" s="54" t="s">
        <v>87</v>
      </c>
      <c r="C1" s="55"/>
      <c r="D1" s="55"/>
      <c r="E1" s="55"/>
      <c r="F1" s="55"/>
    </row>
    <row r="2" spans="2:6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</row>
    <row r="3" spans="2:6" ht="30" x14ac:dyDescent="0.25">
      <c r="B3" s="5" t="s">
        <v>6</v>
      </c>
      <c r="C3" s="3"/>
      <c r="D3" s="6" t="s">
        <v>5</v>
      </c>
      <c r="E3" s="3"/>
      <c r="F3" s="3"/>
    </row>
    <row r="4" spans="2:6" x14ac:dyDescent="0.25">
      <c r="C4" t="s">
        <v>7</v>
      </c>
      <c r="D4" t="s">
        <v>38</v>
      </c>
      <c r="E4" t="s">
        <v>63</v>
      </c>
      <c r="F4" s="8">
        <v>57600</v>
      </c>
    </row>
    <row r="5" spans="2:6" x14ac:dyDescent="0.25">
      <c r="C5" t="s">
        <v>8</v>
      </c>
      <c r="D5" t="s">
        <v>39</v>
      </c>
      <c r="E5" t="s">
        <v>64</v>
      </c>
      <c r="F5" s="8">
        <v>60800</v>
      </c>
    </row>
    <row r="6" spans="2:6" x14ac:dyDescent="0.25">
      <c r="C6" t="s">
        <v>9</v>
      </c>
      <c r="D6" t="s">
        <v>40</v>
      </c>
      <c r="E6" t="s">
        <v>65</v>
      </c>
      <c r="F6" s="8">
        <v>48000</v>
      </c>
    </row>
    <row r="7" spans="2:6" x14ac:dyDescent="0.25">
      <c r="C7" t="s">
        <v>10</v>
      </c>
      <c r="D7" t="s">
        <v>41</v>
      </c>
      <c r="E7" t="s">
        <v>66</v>
      </c>
      <c r="F7" s="8">
        <v>44800</v>
      </c>
    </row>
    <row r="8" spans="2:6" x14ac:dyDescent="0.25">
      <c r="C8" t="s">
        <v>11</v>
      </c>
      <c r="D8" t="s">
        <v>42</v>
      </c>
      <c r="E8" t="s">
        <v>67</v>
      </c>
      <c r="F8" s="8">
        <v>54400</v>
      </c>
    </row>
    <row r="9" spans="2:6" x14ac:dyDescent="0.25">
      <c r="C9" t="s">
        <v>12</v>
      </c>
      <c r="D9" t="s">
        <v>43</v>
      </c>
      <c r="E9" t="s">
        <v>68</v>
      </c>
      <c r="F9" s="8">
        <v>51200</v>
      </c>
    </row>
    <row r="10" spans="2:6" x14ac:dyDescent="0.25">
      <c r="C10" t="s">
        <v>13</v>
      </c>
      <c r="D10" t="s">
        <v>40</v>
      </c>
      <c r="E10" t="s">
        <v>65</v>
      </c>
      <c r="F10" s="8">
        <v>48000</v>
      </c>
    </row>
    <row r="11" spans="2:6" x14ac:dyDescent="0.25">
      <c r="C11" t="s">
        <v>14</v>
      </c>
      <c r="D11" t="s">
        <v>41</v>
      </c>
      <c r="E11" t="s">
        <v>66</v>
      </c>
      <c r="F11" s="8">
        <v>44800</v>
      </c>
    </row>
    <row r="12" spans="2:6" x14ac:dyDescent="0.25">
      <c r="C12" t="s">
        <v>15</v>
      </c>
      <c r="D12" t="s">
        <v>44</v>
      </c>
      <c r="E12" t="s">
        <v>69</v>
      </c>
      <c r="F12" s="8">
        <v>41600</v>
      </c>
    </row>
    <row r="13" spans="2:6" x14ac:dyDescent="0.25">
      <c r="C13" t="s">
        <v>16</v>
      </c>
      <c r="D13" t="s">
        <v>45</v>
      </c>
      <c r="E13" t="s">
        <v>70</v>
      </c>
      <c r="F13" s="8">
        <v>38400</v>
      </c>
    </row>
    <row r="14" spans="2:6" x14ac:dyDescent="0.25">
      <c r="C14" t="s">
        <v>17</v>
      </c>
      <c r="D14" t="s">
        <v>46</v>
      </c>
      <c r="E14" t="s">
        <v>71</v>
      </c>
      <c r="F14" s="8">
        <v>35200</v>
      </c>
    </row>
    <row r="15" spans="2:6" x14ac:dyDescent="0.25">
      <c r="C15" s="4" t="s">
        <v>18</v>
      </c>
      <c r="F15" s="9">
        <v>524800</v>
      </c>
    </row>
    <row r="16" spans="2:6" ht="23.25" customHeight="1" x14ac:dyDescent="0.25">
      <c r="B16" s="5" t="s">
        <v>19</v>
      </c>
      <c r="C16" s="2"/>
      <c r="D16" s="2"/>
      <c r="E16" s="2"/>
      <c r="F16" s="2"/>
    </row>
    <row r="17" spans="2:6" ht="30" x14ac:dyDescent="0.25">
      <c r="C17" t="s">
        <v>20</v>
      </c>
      <c r="D17" t="s">
        <v>109</v>
      </c>
      <c r="E17" s="1" t="s">
        <v>52</v>
      </c>
      <c r="F17" s="8">
        <v>1000</v>
      </c>
    </row>
    <row r="18" spans="2:6" x14ac:dyDescent="0.25">
      <c r="C18" t="s">
        <v>21</v>
      </c>
      <c r="D18" t="s">
        <v>47</v>
      </c>
      <c r="E18" s="1" t="s">
        <v>53</v>
      </c>
      <c r="F18" s="8">
        <v>960</v>
      </c>
    </row>
    <row r="19" spans="2:6" ht="30" x14ac:dyDescent="0.25">
      <c r="C19" t="s">
        <v>22</v>
      </c>
      <c r="D19" t="s">
        <v>48</v>
      </c>
      <c r="E19" s="1" t="s">
        <v>54</v>
      </c>
      <c r="F19" s="8">
        <v>275</v>
      </c>
    </row>
    <row r="20" spans="2:6" ht="30" x14ac:dyDescent="0.25">
      <c r="C20" t="s">
        <v>23</v>
      </c>
      <c r="D20" t="s">
        <v>49</v>
      </c>
      <c r="E20" s="1" t="s">
        <v>55</v>
      </c>
      <c r="F20" s="8">
        <v>255</v>
      </c>
    </row>
    <row r="21" spans="2:6" ht="30" x14ac:dyDescent="0.25">
      <c r="C21" t="s">
        <v>24</v>
      </c>
      <c r="D21" t="s">
        <v>50</v>
      </c>
      <c r="E21" s="1" t="s">
        <v>56</v>
      </c>
      <c r="F21" s="8">
        <v>255</v>
      </c>
    </row>
    <row r="22" spans="2:6" x14ac:dyDescent="0.25">
      <c r="C22" t="s">
        <v>25</v>
      </c>
      <c r="D22" t="s">
        <v>51</v>
      </c>
      <c r="E22" s="1" t="s">
        <v>53</v>
      </c>
      <c r="F22" s="8">
        <v>700</v>
      </c>
    </row>
    <row r="23" spans="2:6" x14ac:dyDescent="0.25">
      <c r="C23" t="s">
        <v>26</v>
      </c>
      <c r="F23" s="9">
        <v>3445</v>
      </c>
    </row>
    <row r="24" spans="2:6" ht="24.75" customHeight="1" x14ac:dyDescent="0.25">
      <c r="B24" s="6" t="s">
        <v>27</v>
      </c>
      <c r="C24" s="2"/>
      <c r="D24" s="2"/>
      <c r="E24" s="2"/>
      <c r="F24" s="2"/>
    </row>
    <row r="25" spans="2:6" x14ac:dyDescent="0.25">
      <c r="C25" t="s">
        <v>28</v>
      </c>
      <c r="D25" t="s">
        <v>57</v>
      </c>
      <c r="E25" s="1" t="s">
        <v>60</v>
      </c>
      <c r="F25" t="s">
        <v>72</v>
      </c>
    </row>
    <row r="26" spans="2:6" x14ac:dyDescent="0.25">
      <c r="C26" t="s">
        <v>29</v>
      </c>
      <c r="D26" t="s">
        <v>58</v>
      </c>
      <c r="E26" s="1" t="s">
        <v>61</v>
      </c>
      <c r="F26" t="s">
        <v>73</v>
      </c>
    </row>
    <row r="27" spans="2:6" x14ac:dyDescent="0.25">
      <c r="C27" t="s">
        <v>30</v>
      </c>
      <c r="D27" t="s">
        <v>59</v>
      </c>
      <c r="E27" s="1" t="s">
        <v>62</v>
      </c>
      <c r="F27" t="s">
        <v>74</v>
      </c>
    </row>
    <row r="28" spans="2:6" x14ac:dyDescent="0.25">
      <c r="C28" s="4" t="s">
        <v>31</v>
      </c>
      <c r="F28" s="9">
        <v>15000</v>
      </c>
    </row>
    <row r="29" spans="2:6" ht="25.5" customHeight="1" x14ac:dyDescent="0.25">
      <c r="B29" s="3" t="s">
        <v>32</v>
      </c>
      <c r="C29" s="2"/>
      <c r="D29" s="2"/>
      <c r="E29" s="2"/>
      <c r="F29" s="2"/>
    </row>
    <row r="30" spans="2:6" x14ac:dyDescent="0.25">
      <c r="C30" s="4" t="s">
        <v>33</v>
      </c>
      <c r="D30" s="56" t="s">
        <v>110</v>
      </c>
      <c r="E30" s="56"/>
      <c r="F30" s="9">
        <v>543245</v>
      </c>
    </row>
    <row r="31" spans="2:6" x14ac:dyDescent="0.25">
      <c r="C31" s="4" t="s">
        <v>34</v>
      </c>
      <c r="D31" s="53" t="s">
        <v>111</v>
      </c>
      <c r="E31" s="53"/>
      <c r="F31" s="10">
        <v>54337</v>
      </c>
    </row>
    <row r="32" spans="2:6" x14ac:dyDescent="0.25">
      <c r="C32" s="4" t="s">
        <v>35</v>
      </c>
      <c r="D32" s="53" t="s">
        <v>75</v>
      </c>
      <c r="E32" s="53"/>
      <c r="F32" s="9">
        <v>597582</v>
      </c>
    </row>
    <row r="33" spans="3:6" x14ac:dyDescent="0.25">
      <c r="C33" s="4" t="s">
        <v>36</v>
      </c>
      <c r="D33" s="53" t="s">
        <v>112</v>
      </c>
      <c r="E33" s="53"/>
      <c r="F33" s="8">
        <v>41830.74</v>
      </c>
    </row>
    <row r="34" spans="3:6" x14ac:dyDescent="0.25">
      <c r="C34" s="4" t="s">
        <v>37</v>
      </c>
      <c r="D34" s="53" t="s">
        <v>76</v>
      </c>
      <c r="E34" s="53"/>
      <c r="F34" s="11">
        <v>639413</v>
      </c>
    </row>
  </sheetData>
  <mergeCells count="6">
    <mergeCell ref="D34:E34"/>
    <mergeCell ref="B1:F1"/>
    <mergeCell ref="D30:E30"/>
    <mergeCell ref="D31:E31"/>
    <mergeCell ref="D32:E32"/>
    <mergeCell ref="D33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3DFD-1ADB-4425-9DAF-EDA6D065CC4F}">
  <dimension ref="A1:P49"/>
  <sheetViews>
    <sheetView topLeftCell="A36" zoomScale="84" zoomScaleNormal="84" workbookViewId="0">
      <selection activeCell="C47" sqref="C47"/>
    </sheetView>
  </sheetViews>
  <sheetFormatPr defaultRowHeight="15" x14ac:dyDescent="0.25"/>
  <cols>
    <col min="2" max="2" width="24.42578125" customWidth="1"/>
    <col min="3" max="3" width="19.85546875" customWidth="1"/>
  </cols>
  <sheetData>
    <row r="1" spans="2:16" ht="29.25" customHeight="1" x14ac:dyDescent="0.35">
      <c r="B1" s="62" t="s">
        <v>86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3" spans="2:16" ht="24" customHeight="1" x14ac:dyDescent="0.35">
      <c r="B3" s="57" t="s">
        <v>85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1"/>
    </row>
    <row r="5" spans="2:16" x14ac:dyDescent="0.25">
      <c r="B5" s="12" t="s">
        <v>0</v>
      </c>
      <c r="C5" s="12" t="s">
        <v>77</v>
      </c>
    </row>
    <row r="6" spans="2:16" x14ac:dyDescent="0.25">
      <c r="B6" s="13" t="s">
        <v>78</v>
      </c>
      <c r="C6" s="14">
        <v>565200</v>
      </c>
    </row>
    <row r="7" spans="2:16" x14ac:dyDescent="0.25">
      <c r="B7" s="13" t="s">
        <v>79</v>
      </c>
      <c r="C7" s="14">
        <v>3445</v>
      </c>
    </row>
    <row r="8" spans="2:16" x14ac:dyDescent="0.25">
      <c r="B8" s="13" t="s">
        <v>80</v>
      </c>
      <c r="C8" s="14">
        <v>15000</v>
      </c>
    </row>
    <row r="24" spans="2:16" ht="21" x14ac:dyDescent="0.35">
      <c r="B24" s="57" t="s">
        <v>81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9"/>
    </row>
    <row r="26" spans="2:16" x14ac:dyDescent="0.25">
      <c r="B26" s="15" t="s">
        <v>82</v>
      </c>
      <c r="C26" s="15" t="s">
        <v>83</v>
      </c>
    </row>
    <row r="27" spans="2:16" x14ac:dyDescent="0.25">
      <c r="B27" s="13" t="s">
        <v>7</v>
      </c>
      <c r="C27" s="14">
        <v>57600</v>
      </c>
    </row>
    <row r="28" spans="2:16" x14ac:dyDescent="0.25">
      <c r="B28" s="13" t="s">
        <v>8</v>
      </c>
      <c r="C28" s="14">
        <v>60800</v>
      </c>
    </row>
    <row r="29" spans="2:16" x14ac:dyDescent="0.25">
      <c r="B29" s="13" t="s">
        <v>9</v>
      </c>
      <c r="C29" s="14">
        <v>48000</v>
      </c>
    </row>
    <row r="30" spans="2:16" x14ac:dyDescent="0.25">
      <c r="B30" s="13" t="s">
        <v>10</v>
      </c>
      <c r="C30" s="14">
        <v>44800</v>
      </c>
    </row>
    <row r="31" spans="2:16" x14ac:dyDescent="0.25">
      <c r="B31" s="13" t="s">
        <v>11</v>
      </c>
      <c r="C31" s="14">
        <v>54400</v>
      </c>
    </row>
    <row r="32" spans="2:16" x14ac:dyDescent="0.25">
      <c r="B32" s="13" t="s">
        <v>12</v>
      </c>
      <c r="C32" s="14">
        <v>51200</v>
      </c>
    </row>
    <row r="33" spans="1:16" x14ac:dyDescent="0.25">
      <c r="B33" s="13" t="s">
        <v>13</v>
      </c>
      <c r="C33" s="14">
        <v>48000</v>
      </c>
    </row>
    <row r="34" spans="1:16" x14ac:dyDescent="0.25">
      <c r="B34" s="13" t="s">
        <v>14</v>
      </c>
      <c r="C34" s="14">
        <v>44800</v>
      </c>
    </row>
    <row r="35" spans="1:16" x14ac:dyDescent="0.25">
      <c r="B35" s="13" t="s">
        <v>15</v>
      </c>
      <c r="C35" s="14">
        <v>41600</v>
      </c>
    </row>
    <row r="36" spans="1:16" x14ac:dyDescent="0.25">
      <c r="B36" s="13" t="s">
        <v>16</v>
      </c>
      <c r="C36" s="14">
        <v>38400</v>
      </c>
    </row>
    <row r="37" spans="1:16" x14ac:dyDescent="0.25">
      <c r="B37" s="13" t="s">
        <v>17</v>
      </c>
      <c r="C37" s="14">
        <v>35200</v>
      </c>
    </row>
    <row r="43" spans="1:16" ht="23.25" customHeight="1" x14ac:dyDescent="0.35">
      <c r="A43" s="16"/>
      <c r="B43" s="57" t="s">
        <v>84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1"/>
    </row>
    <row r="45" spans="1:16" x14ac:dyDescent="0.25">
      <c r="B45" s="12" t="s">
        <v>0</v>
      </c>
      <c r="C45" s="12" t="s">
        <v>77</v>
      </c>
    </row>
    <row r="46" spans="1:16" x14ac:dyDescent="0.25">
      <c r="B46" s="13" t="s">
        <v>33</v>
      </c>
      <c r="C46" s="17">
        <v>543245</v>
      </c>
    </row>
    <row r="47" spans="1:16" x14ac:dyDescent="0.25">
      <c r="B47" s="13" t="s">
        <v>34</v>
      </c>
      <c r="C47" s="14">
        <v>54337</v>
      </c>
    </row>
    <row r="48" spans="1:16" x14ac:dyDescent="0.25">
      <c r="B48" s="13" t="s">
        <v>36</v>
      </c>
      <c r="C48" s="14">
        <v>41830.74</v>
      </c>
    </row>
    <row r="49" spans="2:3" x14ac:dyDescent="0.25">
      <c r="B49" s="13" t="s">
        <v>37</v>
      </c>
      <c r="C49" s="14">
        <v>639413</v>
      </c>
    </row>
  </sheetData>
  <mergeCells count="4">
    <mergeCell ref="B24:P24"/>
    <mergeCell ref="B43:P43"/>
    <mergeCell ref="B3:P3"/>
    <mergeCell ref="B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A9DF-FBCF-4F51-81BA-3BC4D6D0DA83}">
  <dimension ref="B1:F25"/>
  <sheetViews>
    <sheetView zoomScale="85" zoomScaleNormal="85" workbookViewId="0">
      <selection activeCell="I17" sqref="I17"/>
    </sheetView>
  </sheetViews>
  <sheetFormatPr defaultRowHeight="15" x14ac:dyDescent="0.25"/>
  <cols>
    <col min="2" max="6" width="22" customWidth="1"/>
  </cols>
  <sheetData>
    <row r="1" spans="2:6" ht="25.5" customHeight="1" x14ac:dyDescent="0.4">
      <c r="B1" s="54" t="s">
        <v>117</v>
      </c>
      <c r="C1" s="63"/>
      <c r="D1" s="63"/>
      <c r="E1" s="63"/>
      <c r="F1" s="63"/>
    </row>
    <row r="4" spans="2:6" x14ac:dyDescent="0.25">
      <c r="B4" s="18" t="s">
        <v>0</v>
      </c>
      <c r="C4" s="18" t="s">
        <v>91</v>
      </c>
      <c r="D4" s="18" t="s">
        <v>88</v>
      </c>
      <c r="E4" s="18" t="s">
        <v>89</v>
      </c>
      <c r="F4" s="18" t="s">
        <v>90</v>
      </c>
    </row>
    <row r="5" spans="2:6" x14ac:dyDescent="0.25">
      <c r="B5" s="13" t="s">
        <v>78</v>
      </c>
      <c r="C5" s="13" t="s">
        <v>7</v>
      </c>
      <c r="D5" s="14">
        <v>57600</v>
      </c>
      <c r="E5" s="14">
        <v>57600</v>
      </c>
      <c r="F5" s="14">
        <f t="shared" ref="F5:F24" si="0">D5-E5</f>
        <v>0</v>
      </c>
    </row>
    <row r="6" spans="2:6" x14ac:dyDescent="0.25">
      <c r="B6" s="13" t="s">
        <v>78</v>
      </c>
      <c r="C6" s="13" t="s">
        <v>8</v>
      </c>
      <c r="D6" s="14">
        <v>60800</v>
      </c>
      <c r="E6" s="14">
        <v>60800</v>
      </c>
      <c r="F6" s="14">
        <f t="shared" si="0"/>
        <v>0</v>
      </c>
    </row>
    <row r="7" spans="2:6" x14ac:dyDescent="0.25">
      <c r="B7" s="13" t="s">
        <v>78</v>
      </c>
      <c r="C7" s="13" t="s">
        <v>9</v>
      </c>
      <c r="D7" s="14">
        <v>48000</v>
      </c>
      <c r="E7" s="14">
        <v>48000</v>
      </c>
      <c r="F7" s="14">
        <f t="shared" si="0"/>
        <v>0</v>
      </c>
    </row>
    <row r="8" spans="2:6" x14ac:dyDescent="0.25">
      <c r="B8" s="13" t="s">
        <v>78</v>
      </c>
      <c r="C8" s="13" t="s">
        <v>10</v>
      </c>
      <c r="D8" s="14">
        <v>44800</v>
      </c>
      <c r="E8" s="14">
        <v>44800</v>
      </c>
      <c r="F8" s="14">
        <f t="shared" si="0"/>
        <v>0</v>
      </c>
    </row>
    <row r="9" spans="2:6" x14ac:dyDescent="0.25">
      <c r="B9" s="13" t="s">
        <v>78</v>
      </c>
      <c r="C9" s="13" t="s">
        <v>11</v>
      </c>
      <c r="D9" s="14">
        <v>54400</v>
      </c>
      <c r="E9" s="14">
        <v>54400</v>
      </c>
      <c r="F9" s="14">
        <f t="shared" si="0"/>
        <v>0</v>
      </c>
    </row>
    <row r="10" spans="2:6" x14ac:dyDescent="0.25">
      <c r="B10" s="13" t="s">
        <v>78</v>
      </c>
      <c r="C10" s="13" t="s">
        <v>12</v>
      </c>
      <c r="D10" s="14">
        <v>51200</v>
      </c>
      <c r="E10" s="14">
        <v>51200</v>
      </c>
      <c r="F10" s="14">
        <f t="shared" si="0"/>
        <v>0</v>
      </c>
    </row>
    <row r="11" spans="2:6" x14ac:dyDescent="0.25">
      <c r="B11" s="13" t="s">
        <v>78</v>
      </c>
      <c r="C11" s="13" t="s">
        <v>13</v>
      </c>
      <c r="D11" s="14">
        <v>48000</v>
      </c>
      <c r="E11" s="14">
        <v>49200</v>
      </c>
      <c r="F11" s="14">
        <f t="shared" si="0"/>
        <v>-1200</v>
      </c>
    </row>
    <row r="12" spans="2:6" x14ac:dyDescent="0.25">
      <c r="B12" s="13" t="s">
        <v>78</v>
      </c>
      <c r="C12" s="13" t="s">
        <v>14</v>
      </c>
      <c r="D12" s="14">
        <v>44800</v>
      </c>
      <c r="E12" s="14">
        <v>45500</v>
      </c>
      <c r="F12" s="14">
        <f t="shared" si="0"/>
        <v>-700</v>
      </c>
    </row>
    <row r="13" spans="2:6" x14ac:dyDescent="0.25">
      <c r="B13" s="13" t="s">
        <v>78</v>
      </c>
      <c r="C13" s="13" t="s">
        <v>15</v>
      </c>
      <c r="D13" s="14">
        <v>41600</v>
      </c>
      <c r="E13" s="14">
        <v>41600</v>
      </c>
      <c r="F13" s="14">
        <f t="shared" si="0"/>
        <v>0</v>
      </c>
    </row>
    <row r="14" spans="2:6" x14ac:dyDescent="0.25">
      <c r="B14" s="13" t="s">
        <v>78</v>
      </c>
      <c r="C14" s="13" t="s">
        <v>16</v>
      </c>
      <c r="D14" s="14">
        <v>38400</v>
      </c>
      <c r="E14" s="14">
        <v>38400</v>
      </c>
      <c r="F14" s="14">
        <f t="shared" si="0"/>
        <v>0</v>
      </c>
    </row>
    <row r="15" spans="2:6" x14ac:dyDescent="0.25">
      <c r="B15" s="13" t="s">
        <v>78</v>
      </c>
      <c r="C15" s="13" t="s">
        <v>17</v>
      </c>
      <c r="D15" s="14">
        <v>35200</v>
      </c>
      <c r="E15" s="14">
        <v>35200</v>
      </c>
      <c r="F15" s="14">
        <f t="shared" si="0"/>
        <v>0</v>
      </c>
    </row>
    <row r="16" spans="2:6" x14ac:dyDescent="0.25">
      <c r="B16" s="13" t="s">
        <v>92</v>
      </c>
      <c r="C16" s="13" t="s">
        <v>20</v>
      </c>
      <c r="D16" s="14">
        <v>1000</v>
      </c>
      <c r="E16" s="14">
        <v>1000</v>
      </c>
      <c r="F16" s="14">
        <f t="shared" si="0"/>
        <v>0</v>
      </c>
    </row>
    <row r="17" spans="2:6" x14ac:dyDescent="0.25">
      <c r="B17" s="13" t="s">
        <v>92</v>
      </c>
      <c r="C17" s="13" t="s">
        <v>21</v>
      </c>
      <c r="D17" s="14">
        <v>960</v>
      </c>
      <c r="E17" s="14">
        <v>960</v>
      </c>
      <c r="F17" s="14">
        <f t="shared" si="0"/>
        <v>0</v>
      </c>
    </row>
    <row r="18" spans="2:6" x14ac:dyDescent="0.25">
      <c r="B18" s="13" t="s">
        <v>92</v>
      </c>
      <c r="C18" s="13" t="s">
        <v>22</v>
      </c>
      <c r="D18" s="14">
        <v>275</v>
      </c>
      <c r="E18" s="14">
        <v>275</v>
      </c>
      <c r="F18" s="14">
        <f t="shared" si="0"/>
        <v>0</v>
      </c>
    </row>
    <row r="19" spans="2:6" x14ac:dyDescent="0.25">
      <c r="B19" s="13" t="s">
        <v>92</v>
      </c>
      <c r="C19" s="13" t="s">
        <v>23</v>
      </c>
      <c r="D19" s="14">
        <v>255</v>
      </c>
      <c r="E19" s="14">
        <v>255</v>
      </c>
      <c r="F19" s="14">
        <f t="shared" si="0"/>
        <v>0</v>
      </c>
    </row>
    <row r="20" spans="2:6" x14ac:dyDescent="0.25">
      <c r="B20" s="13" t="s">
        <v>92</v>
      </c>
      <c r="C20" s="13" t="s">
        <v>93</v>
      </c>
      <c r="D20" s="14">
        <v>255</v>
      </c>
      <c r="E20" s="14">
        <v>255</v>
      </c>
      <c r="F20" s="14">
        <f t="shared" si="0"/>
        <v>0</v>
      </c>
    </row>
    <row r="21" spans="2:6" x14ac:dyDescent="0.25">
      <c r="B21" s="13" t="s">
        <v>92</v>
      </c>
      <c r="C21" s="13" t="s">
        <v>25</v>
      </c>
      <c r="D21" s="14">
        <v>700</v>
      </c>
      <c r="E21" s="14">
        <v>700</v>
      </c>
      <c r="F21" s="14">
        <f t="shared" si="0"/>
        <v>0</v>
      </c>
    </row>
    <row r="22" spans="2:6" ht="30" x14ac:dyDescent="0.25">
      <c r="B22" s="13" t="s">
        <v>80</v>
      </c>
      <c r="C22" s="25" t="s">
        <v>28</v>
      </c>
      <c r="D22" s="14">
        <v>10000</v>
      </c>
      <c r="E22" s="14">
        <v>12200</v>
      </c>
      <c r="F22" s="14">
        <f t="shared" si="0"/>
        <v>-2200</v>
      </c>
    </row>
    <row r="23" spans="2:6" x14ac:dyDescent="0.25">
      <c r="B23" s="13" t="s">
        <v>80</v>
      </c>
      <c r="C23" s="13" t="s">
        <v>94</v>
      </c>
      <c r="D23" s="14">
        <v>2000</v>
      </c>
      <c r="E23" s="14">
        <v>2000</v>
      </c>
      <c r="F23" s="14">
        <f t="shared" si="0"/>
        <v>0</v>
      </c>
    </row>
    <row r="24" spans="2:6" x14ac:dyDescent="0.25">
      <c r="B24" s="13" t="s">
        <v>80</v>
      </c>
      <c r="C24" s="13" t="s">
        <v>30</v>
      </c>
      <c r="D24" s="14">
        <v>3000</v>
      </c>
      <c r="E24" s="14">
        <v>3800</v>
      </c>
      <c r="F24" s="14">
        <f t="shared" si="0"/>
        <v>-800</v>
      </c>
    </row>
    <row r="25" spans="2:6" x14ac:dyDescent="0.25">
      <c r="B25" s="46" t="s">
        <v>95</v>
      </c>
      <c r="C25" s="13" t="s">
        <v>96</v>
      </c>
      <c r="D25" s="47">
        <v>54374</v>
      </c>
      <c r="E25" s="48">
        <f>ABS(SUMIF(F5:F24, "&lt;0"))</f>
        <v>4900</v>
      </c>
      <c r="F25" s="47">
        <f>D25-E25</f>
        <v>49474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1142-095E-4CCE-8C26-03107AB1A481}">
  <dimension ref="B4:N29"/>
  <sheetViews>
    <sheetView topLeftCell="A6" zoomScale="85" zoomScaleNormal="85" workbookViewId="0">
      <selection activeCell="H29" sqref="H29"/>
    </sheetView>
  </sheetViews>
  <sheetFormatPr defaultRowHeight="15" x14ac:dyDescent="0.25"/>
  <cols>
    <col min="2" max="2" width="11.7109375" customWidth="1"/>
    <col min="3" max="3" width="23.140625" customWidth="1"/>
    <col min="4" max="14" width="13.28515625" customWidth="1"/>
  </cols>
  <sheetData>
    <row r="4" spans="2:14" ht="23.25" customHeight="1" x14ac:dyDescent="0.4">
      <c r="B4" s="54" t="s">
        <v>97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2:14" x14ac:dyDescent="0.25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2:14" x14ac:dyDescent="0.25">
      <c r="B6" s="18" t="s">
        <v>0</v>
      </c>
      <c r="C6" s="18" t="s">
        <v>91</v>
      </c>
      <c r="D6" s="18" t="s">
        <v>88</v>
      </c>
      <c r="E6" s="18" t="s">
        <v>98</v>
      </c>
      <c r="F6" s="18" t="s">
        <v>99</v>
      </c>
      <c r="G6" s="18" t="s">
        <v>100</v>
      </c>
      <c r="H6" s="18" t="s">
        <v>101</v>
      </c>
      <c r="I6" s="18" t="s">
        <v>102</v>
      </c>
      <c r="J6" s="18" t="s">
        <v>103</v>
      </c>
      <c r="K6" s="18" t="s">
        <v>104</v>
      </c>
      <c r="L6" s="18" t="s">
        <v>105</v>
      </c>
      <c r="M6" s="18" t="s">
        <v>106</v>
      </c>
      <c r="N6" s="18" t="s">
        <v>90</v>
      </c>
    </row>
    <row r="7" spans="2:14" x14ac:dyDescent="0.25">
      <c r="B7" s="13" t="s">
        <v>78</v>
      </c>
      <c r="C7" s="13" t="s">
        <v>7</v>
      </c>
      <c r="D7" s="14">
        <v>57600</v>
      </c>
      <c r="E7" s="14">
        <v>7200</v>
      </c>
      <c r="F7" s="14">
        <v>7200</v>
      </c>
      <c r="G7" s="14">
        <v>7200</v>
      </c>
      <c r="H7" s="14">
        <v>7200</v>
      </c>
      <c r="I7" s="14">
        <v>7200</v>
      </c>
      <c r="J7" s="14">
        <v>7200</v>
      </c>
      <c r="K7" s="14">
        <v>7200</v>
      </c>
      <c r="L7" s="14">
        <v>7200</v>
      </c>
      <c r="M7" s="14">
        <v>57600</v>
      </c>
      <c r="N7" s="14">
        <f t="shared" ref="N7:N25" si="0">D7-M7</f>
        <v>0</v>
      </c>
    </row>
    <row r="8" spans="2:14" x14ac:dyDescent="0.25">
      <c r="B8" s="13" t="s">
        <v>78</v>
      </c>
      <c r="C8" s="13" t="s">
        <v>8</v>
      </c>
      <c r="D8" s="14">
        <v>60800</v>
      </c>
      <c r="E8" s="14">
        <v>7600</v>
      </c>
      <c r="F8" s="14">
        <v>7600</v>
      </c>
      <c r="G8" s="14">
        <v>7600</v>
      </c>
      <c r="H8" s="14">
        <v>7600</v>
      </c>
      <c r="I8" s="14">
        <v>7600</v>
      </c>
      <c r="J8" s="14">
        <v>7600</v>
      </c>
      <c r="K8" s="14">
        <v>7600</v>
      </c>
      <c r="L8" s="14">
        <v>7600</v>
      </c>
      <c r="M8" s="14">
        <v>60800</v>
      </c>
      <c r="N8" s="14">
        <f t="shared" si="0"/>
        <v>0</v>
      </c>
    </row>
    <row r="9" spans="2:14" x14ac:dyDescent="0.25">
      <c r="B9" s="13" t="s">
        <v>78</v>
      </c>
      <c r="C9" s="13" t="s">
        <v>107</v>
      </c>
      <c r="D9" s="14">
        <v>48000</v>
      </c>
      <c r="E9" s="14">
        <v>6000</v>
      </c>
      <c r="F9" s="14">
        <v>6000</v>
      </c>
      <c r="G9" s="14">
        <v>6000</v>
      </c>
      <c r="H9" s="14">
        <v>6000</v>
      </c>
      <c r="I9" s="14">
        <v>6000</v>
      </c>
      <c r="J9" s="14">
        <v>6000</v>
      </c>
      <c r="K9" s="14">
        <v>6000</v>
      </c>
      <c r="L9" s="14">
        <v>6000</v>
      </c>
      <c r="M9" s="14">
        <v>48000</v>
      </c>
      <c r="N9" s="14">
        <f t="shared" si="0"/>
        <v>0</v>
      </c>
    </row>
    <row r="10" spans="2:14" x14ac:dyDescent="0.25">
      <c r="B10" s="13" t="s">
        <v>78</v>
      </c>
      <c r="C10" s="13" t="s">
        <v>10</v>
      </c>
      <c r="D10" s="14">
        <v>44800</v>
      </c>
      <c r="E10" s="20">
        <v>5600</v>
      </c>
      <c r="F10" s="14">
        <v>5600</v>
      </c>
      <c r="G10" s="14">
        <v>5600</v>
      </c>
      <c r="H10" s="14">
        <v>5600</v>
      </c>
      <c r="I10" s="14">
        <v>5600</v>
      </c>
      <c r="J10" s="14">
        <v>5600</v>
      </c>
      <c r="K10" s="14">
        <v>5600</v>
      </c>
      <c r="L10" s="14">
        <v>5600</v>
      </c>
      <c r="M10" s="14">
        <v>44800</v>
      </c>
      <c r="N10" s="14">
        <f t="shared" si="0"/>
        <v>0</v>
      </c>
    </row>
    <row r="11" spans="2:14" x14ac:dyDescent="0.25">
      <c r="B11" s="13" t="s">
        <v>78</v>
      </c>
      <c r="C11" s="13" t="s">
        <v>11</v>
      </c>
      <c r="D11" s="14">
        <v>54400</v>
      </c>
      <c r="E11" s="14">
        <v>6800</v>
      </c>
      <c r="F11" s="14">
        <v>6800</v>
      </c>
      <c r="G11" s="14">
        <v>6800</v>
      </c>
      <c r="H11" s="14">
        <v>6800</v>
      </c>
      <c r="I11" s="14">
        <v>6800</v>
      </c>
      <c r="J11" s="14">
        <v>6800</v>
      </c>
      <c r="K11" s="14">
        <v>6800</v>
      </c>
      <c r="L11" s="14">
        <v>6800</v>
      </c>
      <c r="M11" s="14">
        <v>54400</v>
      </c>
      <c r="N11" s="14">
        <f t="shared" si="0"/>
        <v>0</v>
      </c>
    </row>
    <row r="12" spans="2:14" x14ac:dyDescent="0.25">
      <c r="B12" s="13" t="s">
        <v>78</v>
      </c>
      <c r="C12" s="13" t="s">
        <v>12</v>
      </c>
      <c r="D12" s="14">
        <v>51200</v>
      </c>
      <c r="E12" s="14">
        <v>6400</v>
      </c>
      <c r="F12" s="14">
        <v>6400</v>
      </c>
      <c r="G12" s="14">
        <v>6400</v>
      </c>
      <c r="H12" s="14">
        <v>6400</v>
      </c>
      <c r="I12" s="14">
        <v>6400</v>
      </c>
      <c r="J12" s="14">
        <v>6400</v>
      </c>
      <c r="K12" s="14">
        <v>6400</v>
      </c>
      <c r="L12" s="14">
        <v>6400</v>
      </c>
      <c r="M12" s="14">
        <v>51200</v>
      </c>
      <c r="N12" s="14">
        <f t="shared" si="0"/>
        <v>0</v>
      </c>
    </row>
    <row r="13" spans="2:14" x14ac:dyDescent="0.25">
      <c r="B13" s="13" t="s">
        <v>78</v>
      </c>
      <c r="C13" s="13" t="s">
        <v>13</v>
      </c>
      <c r="D13" s="14">
        <v>48000</v>
      </c>
      <c r="E13" s="14">
        <v>6000</v>
      </c>
      <c r="F13" s="14">
        <v>6000</v>
      </c>
      <c r="G13" s="14">
        <v>6000</v>
      </c>
      <c r="H13" s="21">
        <v>6240</v>
      </c>
      <c r="I13" s="21">
        <v>6240</v>
      </c>
      <c r="J13" s="21">
        <v>6240</v>
      </c>
      <c r="K13" s="21">
        <v>6240</v>
      </c>
      <c r="L13" s="21">
        <v>6240</v>
      </c>
      <c r="M13" s="21">
        <v>49440</v>
      </c>
      <c r="N13" s="14">
        <f t="shared" si="0"/>
        <v>-1440</v>
      </c>
    </row>
    <row r="14" spans="2:14" x14ac:dyDescent="0.25">
      <c r="B14" s="13" t="s">
        <v>78</v>
      </c>
      <c r="C14" s="13" t="s">
        <v>14</v>
      </c>
      <c r="D14" s="14">
        <v>44800</v>
      </c>
      <c r="E14" s="14">
        <v>5600</v>
      </c>
      <c r="F14" s="14">
        <v>5600</v>
      </c>
      <c r="G14" s="14">
        <v>5600</v>
      </c>
      <c r="H14" s="14">
        <v>5600</v>
      </c>
      <c r="I14" s="14">
        <v>5600</v>
      </c>
      <c r="J14" s="21">
        <v>5800</v>
      </c>
      <c r="K14" s="21">
        <v>5850</v>
      </c>
      <c r="L14" s="21">
        <v>5850</v>
      </c>
      <c r="M14" s="21">
        <v>45500</v>
      </c>
      <c r="N14" s="14">
        <f t="shared" si="0"/>
        <v>-700</v>
      </c>
    </row>
    <row r="15" spans="2:14" x14ac:dyDescent="0.25">
      <c r="B15" s="13" t="s">
        <v>78</v>
      </c>
      <c r="C15" s="13" t="s">
        <v>15</v>
      </c>
      <c r="D15" s="14">
        <v>41600</v>
      </c>
      <c r="E15" s="14">
        <v>5200</v>
      </c>
      <c r="F15" s="14">
        <v>5200</v>
      </c>
      <c r="G15" s="14">
        <v>5200</v>
      </c>
      <c r="H15" s="14">
        <v>5200</v>
      </c>
      <c r="I15" s="14">
        <v>5200</v>
      </c>
      <c r="J15" s="14">
        <v>5200</v>
      </c>
      <c r="K15" s="14">
        <v>5200</v>
      </c>
      <c r="L15" s="14">
        <v>5200</v>
      </c>
      <c r="M15" s="14">
        <v>41600</v>
      </c>
      <c r="N15" s="14">
        <f t="shared" si="0"/>
        <v>0</v>
      </c>
    </row>
    <row r="16" spans="2:14" x14ac:dyDescent="0.25">
      <c r="B16" s="13" t="s">
        <v>78</v>
      </c>
      <c r="C16" s="13" t="s">
        <v>16</v>
      </c>
      <c r="D16" s="14">
        <v>38400</v>
      </c>
      <c r="E16" s="14">
        <v>4800</v>
      </c>
      <c r="F16" s="14">
        <v>4800</v>
      </c>
      <c r="G16" s="14">
        <v>4800</v>
      </c>
      <c r="H16" s="14">
        <v>4800</v>
      </c>
      <c r="I16" s="14">
        <v>4800</v>
      </c>
      <c r="J16" s="14">
        <v>4800</v>
      </c>
      <c r="K16" s="14">
        <v>4800</v>
      </c>
      <c r="L16" s="14">
        <v>4800</v>
      </c>
      <c r="M16" s="14">
        <v>38400</v>
      </c>
      <c r="N16" s="14">
        <f t="shared" si="0"/>
        <v>0</v>
      </c>
    </row>
    <row r="17" spans="2:14" x14ac:dyDescent="0.25">
      <c r="B17" s="13" t="s">
        <v>78</v>
      </c>
      <c r="C17" s="13" t="s">
        <v>17</v>
      </c>
      <c r="D17" s="14">
        <v>35200</v>
      </c>
      <c r="E17" s="14">
        <v>4400</v>
      </c>
      <c r="F17" s="14">
        <v>4400</v>
      </c>
      <c r="G17" s="14">
        <v>4400</v>
      </c>
      <c r="H17" s="14">
        <v>4400</v>
      </c>
      <c r="I17" s="14">
        <v>4400</v>
      </c>
      <c r="J17" s="14">
        <v>4400</v>
      </c>
      <c r="K17" s="14">
        <v>4400</v>
      </c>
      <c r="L17" s="14">
        <v>4400</v>
      </c>
      <c r="M17" s="14">
        <v>35200</v>
      </c>
      <c r="N17" s="14">
        <f t="shared" si="0"/>
        <v>0</v>
      </c>
    </row>
    <row r="18" spans="2:14" x14ac:dyDescent="0.25">
      <c r="B18" s="13" t="s">
        <v>79</v>
      </c>
      <c r="C18" s="13" t="s">
        <v>20</v>
      </c>
      <c r="D18" s="14">
        <v>1000</v>
      </c>
      <c r="E18" s="22">
        <v>12.5</v>
      </c>
      <c r="F18" s="22">
        <v>12.5</v>
      </c>
      <c r="G18" s="22">
        <v>12.5</v>
      </c>
      <c r="H18" s="22">
        <v>12.5</v>
      </c>
      <c r="I18" s="22">
        <v>12.5</v>
      </c>
      <c r="J18" s="22">
        <v>12.5</v>
      </c>
      <c r="K18" s="22">
        <v>12.5</v>
      </c>
      <c r="L18" s="22">
        <v>12.5</v>
      </c>
      <c r="M18" s="14">
        <v>1000</v>
      </c>
      <c r="N18" s="14">
        <f t="shared" si="0"/>
        <v>0</v>
      </c>
    </row>
    <row r="19" spans="2:14" x14ac:dyDescent="0.25">
      <c r="B19" s="13" t="s">
        <v>79</v>
      </c>
      <c r="C19" s="13" t="s">
        <v>21</v>
      </c>
      <c r="D19" s="14">
        <v>960</v>
      </c>
      <c r="E19" s="14">
        <v>12</v>
      </c>
      <c r="F19" s="14">
        <v>12</v>
      </c>
      <c r="G19" s="14">
        <v>12</v>
      </c>
      <c r="H19" s="14">
        <v>12</v>
      </c>
      <c r="I19" s="14">
        <v>12</v>
      </c>
      <c r="J19" s="14">
        <v>12</v>
      </c>
      <c r="K19" s="14">
        <v>12</v>
      </c>
      <c r="L19" s="14">
        <v>12</v>
      </c>
      <c r="M19" s="14">
        <v>960</v>
      </c>
      <c r="N19" s="14">
        <f t="shared" si="0"/>
        <v>0</v>
      </c>
    </row>
    <row r="20" spans="2:14" x14ac:dyDescent="0.25">
      <c r="B20" s="13" t="s">
        <v>79</v>
      </c>
      <c r="C20" s="13" t="s">
        <v>22</v>
      </c>
      <c r="D20" s="14">
        <v>275</v>
      </c>
      <c r="E20" s="23"/>
      <c r="F20" s="14">
        <v>55</v>
      </c>
      <c r="G20" s="14">
        <v>55</v>
      </c>
      <c r="H20" s="14">
        <v>55</v>
      </c>
      <c r="I20" s="14">
        <v>55</v>
      </c>
      <c r="J20" s="14">
        <v>55</v>
      </c>
      <c r="K20" s="13"/>
      <c r="L20" s="13"/>
      <c r="M20" s="14">
        <v>275</v>
      </c>
      <c r="N20" s="14">
        <f t="shared" si="0"/>
        <v>0</v>
      </c>
    </row>
    <row r="21" spans="2:14" x14ac:dyDescent="0.25">
      <c r="B21" s="13" t="s">
        <v>79</v>
      </c>
      <c r="C21" s="13" t="s">
        <v>23</v>
      </c>
      <c r="D21" s="14">
        <v>255</v>
      </c>
      <c r="E21" s="13"/>
      <c r="F21" s="13"/>
      <c r="G21" s="13"/>
      <c r="H21" s="14">
        <v>85</v>
      </c>
      <c r="I21" s="14">
        <v>85</v>
      </c>
      <c r="J21" s="14">
        <v>85</v>
      </c>
      <c r="K21" s="13"/>
      <c r="L21" s="13"/>
      <c r="M21" s="14">
        <v>255</v>
      </c>
      <c r="N21" s="14">
        <f t="shared" si="0"/>
        <v>0</v>
      </c>
    </row>
    <row r="22" spans="2:14" x14ac:dyDescent="0.25">
      <c r="B22" s="13" t="s">
        <v>79</v>
      </c>
      <c r="C22" s="13" t="s">
        <v>93</v>
      </c>
      <c r="D22" s="14">
        <v>255</v>
      </c>
      <c r="E22" s="13"/>
      <c r="F22" s="13"/>
      <c r="G22" s="13"/>
      <c r="H22" s="13"/>
      <c r="I22" s="13"/>
      <c r="J22" s="14">
        <v>85</v>
      </c>
      <c r="K22" s="14">
        <v>85</v>
      </c>
      <c r="L22" s="14">
        <v>85</v>
      </c>
      <c r="M22" s="14">
        <v>255</v>
      </c>
      <c r="N22" s="14">
        <f t="shared" si="0"/>
        <v>0</v>
      </c>
    </row>
    <row r="23" spans="2:14" x14ac:dyDescent="0.25">
      <c r="B23" s="13" t="s">
        <v>79</v>
      </c>
      <c r="C23" s="13" t="s">
        <v>25</v>
      </c>
      <c r="D23" s="14">
        <v>700</v>
      </c>
      <c r="E23" s="24">
        <v>8.75</v>
      </c>
      <c r="F23" s="24">
        <v>8.75</v>
      </c>
      <c r="G23" s="24">
        <v>8.75</v>
      </c>
      <c r="H23" s="24">
        <v>8.75</v>
      </c>
      <c r="I23" s="24">
        <v>8.75</v>
      </c>
      <c r="J23" s="24">
        <v>8.75</v>
      </c>
      <c r="K23" s="24">
        <v>8.75</v>
      </c>
      <c r="L23" s="24">
        <v>8.75</v>
      </c>
      <c r="M23" s="14">
        <v>700</v>
      </c>
      <c r="N23" s="14">
        <f t="shared" si="0"/>
        <v>0</v>
      </c>
    </row>
    <row r="24" spans="2:14" ht="30" x14ac:dyDescent="0.25">
      <c r="B24" s="13" t="s">
        <v>108</v>
      </c>
      <c r="C24" s="25" t="s">
        <v>28</v>
      </c>
      <c r="D24" s="14">
        <v>10000</v>
      </c>
      <c r="E24" s="13"/>
      <c r="F24" s="13"/>
      <c r="G24" s="13"/>
      <c r="H24" s="13"/>
      <c r="I24" s="21">
        <v>12200</v>
      </c>
      <c r="J24" s="13"/>
      <c r="K24" s="13"/>
      <c r="L24" s="13"/>
      <c r="M24" s="21">
        <v>12200</v>
      </c>
      <c r="N24" s="14">
        <f t="shared" si="0"/>
        <v>-2200</v>
      </c>
    </row>
    <row r="25" spans="2:14" x14ac:dyDescent="0.25">
      <c r="B25" s="13" t="s">
        <v>108</v>
      </c>
      <c r="C25" s="13" t="s">
        <v>94</v>
      </c>
      <c r="D25" s="14">
        <v>2000</v>
      </c>
      <c r="E25" s="13"/>
      <c r="F25" s="13"/>
      <c r="G25" s="13"/>
      <c r="H25" s="13"/>
      <c r="I25" s="13"/>
      <c r="J25" s="26">
        <v>2000</v>
      </c>
      <c r="K25" s="13"/>
      <c r="L25" s="13"/>
      <c r="M25" s="14">
        <v>2000</v>
      </c>
      <c r="N25" s="14">
        <f t="shared" si="0"/>
        <v>0</v>
      </c>
    </row>
    <row r="26" spans="2:14" x14ac:dyDescent="0.25">
      <c r="B26" s="13" t="s">
        <v>108</v>
      </c>
      <c r="C26" s="13" t="s">
        <v>30</v>
      </c>
      <c r="D26" s="14">
        <v>3000</v>
      </c>
      <c r="E26" s="13"/>
      <c r="F26" s="13"/>
      <c r="G26" s="13"/>
      <c r="H26" s="13"/>
      <c r="I26" s="13"/>
      <c r="J26" s="13"/>
      <c r="K26" s="21">
        <v>3800</v>
      </c>
      <c r="L26" s="13"/>
      <c r="M26" s="21">
        <v>3800</v>
      </c>
      <c r="N26" s="14">
        <f>D26-K26</f>
        <v>-800</v>
      </c>
    </row>
    <row r="27" spans="2:14" x14ac:dyDescent="0.25">
      <c r="B27" s="13" t="s">
        <v>4</v>
      </c>
      <c r="C27" s="13" t="s">
        <v>113</v>
      </c>
      <c r="D27" s="14">
        <v>543245</v>
      </c>
      <c r="E27" s="14">
        <f t="shared" ref="E27:N27" si="1">SUM(E7:E26)</f>
        <v>65633.25</v>
      </c>
      <c r="F27" s="14">
        <f t="shared" si="1"/>
        <v>65688.25</v>
      </c>
      <c r="G27" s="14">
        <f t="shared" si="1"/>
        <v>65688.25</v>
      </c>
      <c r="H27" s="27">
        <f t="shared" si="1"/>
        <v>66013.25</v>
      </c>
      <c r="I27" s="21">
        <f t="shared" si="1"/>
        <v>78213.25</v>
      </c>
      <c r="J27" s="21">
        <f>SUM(J7:J26)</f>
        <v>68298.25</v>
      </c>
      <c r="K27" s="21">
        <f t="shared" si="1"/>
        <v>70008.25</v>
      </c>
      <c r="L27" s="21">
        <f t="shared" si="1"/>
        <v>66208.25</v>
      </c>
      <c r="M27" s="21">
        <f t="shared" si="1"/>
        <v>548385</v>
      </c>
      <c r="N27" s="14">
        <f t="shared" si="1"/>
        <v>-5140</v>
      </c>
    </row>
    <row r="28" spans="2:14" x14ac:dyDescent="0.25">
      <c r="B28" s="13" t="s">
        <v>95</v>
      </c>
      <c r="C28" s="13" t="s">
        <v>114</v>
      </c>
      <c r="D28" s="14">
        <v>54337</v>
      </c>
      <c r="E28" s="14">
        <v>0</v>
      </c>
      <c r="F28" s="14">
        <v>0</v>
      </c>
      <c r="G28" s="14">
        <v>0</v>
      </c>
      <c r="H28" s="14">
        <v>240</v>
      </c>
      <c r="I28" s="14">
        <v>2440</v>
      </c>
      <c r="J28" s="14">
        <v>440</v>
      </c>
      <c r="K28" s="14">
        <v>1200</v>
      </c>
      <c r="L28" s="14">
        <v>490</v>
      </c>
      <c r="M28" s="14">
        <v>4810</v>
      </c>
      <c r="N28" s="14">
        <v>49527</v>
      </c>
    </row>
    <row r="29" spans="2:14" x14ac:dyDescent="0.25">
      <c r="B29" s="13" t="s">
        <v>115</v>
      </c>
      <c r="C29" s="13" t="s">
        <v>116</v>
      </c>
      <c r="D29" s="14">
        <v>597582</v>
      </c>
      <c r="E29" s="14">
        <v>65633</v>
      </c>
      <c r="F29" s="14">
        <v>65688</v>
      </c>
      <c r="G29" s="14">
        <v>65688</v>
      </c>
      <c r="H29" s="14">
        <f t="shared" ref="H29:L29" si="2">SUM(H27:H28)</f>
        <v>66253.25</v>
      </c>
      <c r="I29" s="14">
        <f t="shared" si="2"/>
        <v>80653.25</v>
      </c>
      <c r="J29" s="14">
        <f t="shared" si="2"/>
        <v>68738.25</v>
      </c>
      <c r="K29" s="14">
        <f t="shared" si="2"/>
        <v>71208.25</v>
      </c>
      <c r="L29" s="14">
        <f t="shared" si="2"/>
        <v>66698.25</v>
      </c>
      <c r="M29" s="14">
        <f>SUM(M27:M28)</f>
        <v>553195</v>
      </c>
      <c r="N29" s="14">
        <f>D29-M29</f>
        <v>44387</v>
      </c>
    </row>
  </sheetData>
  <mergeCells count="1">
    <mergeCell ref="B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AD91-5825-452C-A88F-B62F224FEEE7}">
  <dimension ref="A1:M44"/>
  <sheetViews>
    <sheetView topLeftCell="A30" workbookViewId="0">
      <selection activeCell="I5" sqref="I5"/>
    </sheetView>
  </sheetViews>
  <sheetFormatPr defaultRowHeight="15" x14ac:dyDescent="0.25"/>
  <cols>
    <col min="2" max="2" width="26.42578125" customWidth="1"/>
    <col min="3" max="3" width="28.140625" customWidth="1"/>
    <col min="4" max="4" width="23.5703125" customWidth="1"/>
    <col min="5" max="5" width="28.42578125" customWidth="1"/>
    <col min="6" max="6" width="24.140625" customWidth="1"/>
    <col min="7" max="7" width="17.7109375" customWidth="1"/>
  </cols>
  <sheetData>
    <row r="1" spans="1:13" ht="27" customHeight="1" x14ac:dyDescent="0.35">
      <c r="A1" s="62" t="s">
        <v>123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5.75" thickBot="1" x14ac:dyDescent="0.3">
      <c r="C2" s="8"/>
    </row>
    <row r="3" spans="1:13" ht="26.25" customHeight="1" thickBot="1" x14ac:dyDescent="0.4">
      <c r="B3" s="67" t="s">
        <v>143</v>
      </c>
      <c r="C3" s="68"/>
      <c r="D3" s="68"/>
      <c r="E3" s="68"/>
      <c r="F3" s="69"/>
    </row>
    <row r="4" spans="1:13" x14ac:dyDescent="0.25">
      <c r="C4" s="8"/>
      <c r="E4" s="53"/>
      <c r="F4" s="53"/>
      <c r="G4" s="53"/>
      <c r="H4" s="53"/>
      <c r="I4" s="53"/>
    </row>
    <row r="5" spans="1:13" ht="21" customHeight="1" x14ac:dyDescent="0.25">
      <c r="B5" s="13" t="s">
        <v>118</v>
      </c>
      <c r="C5" s="14">
        <v>597582</v>
      </c>
      <c r="E5" s="50" t="s">
        <v>135</v>
      </c>
      <c r="F5" s="50" t="s">
        <v>136</v>
      </c>
    </row>
    <row r="6" spans="1:13" ht="21" customHeight="1" x14ac:dyDescent="0.25">
      <c r="B6" s="13" t="s">
        <v>119</v>
      </c>
      <c r="C6" s="14">
        <v>553195</v>
      </c>
      <c r="E6" s="13" t="s">
        <v>118</v>
      </c>
      <c r="F6" s="14">
        <f>C5</f>
        <v>597582</v>
      </c>
    </row>
    <row r="7" spans="1:13" ht="21" customHeight="1" x14ac:dyDescent="0.25">
      <c r="B7" s="13" t="s">
        <v>120</v>
      </c>
      <c r="C7" s="14">
        <f>C5-C6</f>
        <v>44387</v>
      </c>
      <c r="E7" s="13" t="s">
        <v>137</v>
      </c>
      <c r="F7" s="14">
        <f>C6</f>
        <v>553195</v>
      </c>
    </row>
    <row r="8" spans="1:13" ht="21" customHeight="1" x14ac:dyDescent="0.25">
      <c r="B8" s="13" t="s">
        <v>121</v>
      </c>
      <c r="C8" s="14">
        <v>4810</v>
      </c>
      <c r="E8" s="13" t="s">
        <v>138</v>
      </c>
      <c r="F8" s="52">
        <f>C5-C6</f>
        <v>44387</v>
      </c>
    </row>
    <row r="9" spans="1:13" ht="21" customHeight="1" x14ac:dyDescent="0.25">
      <c r="B9" s="13" t="s">
        <v>122</v>
      </c>
      <c r="C9" s="14">
        <v>49527</v>
      </c>
      <c r="E9" s="13" t="s">
        <v>139</v>
      </c>
      <c r="F9" s="14">
        <f>C8+C9</f>
        <v>54337</v>
      </c>
    </row>
    <row r="10" spans="1:13" ht="21" customHeight="1" x14ac:dyDescent="0.25">
      <c r="E10" s="13" t="s">
        <v>121</v>
      </c>
      <c r="F10" s="14">
        <f>C8</f>
        <v>4810</v>
      </c>
    </row>
    <row r="11" spans="1:13" ht="21" customHeight="1" x14ac:dyDescent="0.25">
      <c r="E11" s="13" t="s">
        <v>140</v>
      </c>
      <c r="F11" s="49">
        <f>C9/(C8+C9)</f>
        <v>0.91147836649060487</v>
      </c>
    </row>
    <row r="12" spans="1:13" ht="21" customHeight="1" x14ac:dyDescent="0.25">
      <c r="E12" s="13" t="s">
        <v>141</v>
      </c>
      <c r="F12" s="51" t="s">
        <v>78</v>
      </c>
    </row>
    <row r="13" spans="1:13" ht="21" customHeight="1" x14ac:dyDescent="0.25">
      <c r="E13" s="13" t="s">
        <v>142</v>
      </c>
      <c r="F13" s="49">
        <f>1 - (ABS(F8) / F6)</f>
        <v>0.9257223276470844</v>
      </c>
    </row>
    <row r="14" spans="1:13" ht="15.75" thickBot="1" x14ac:dyDescent="0.3"/>
    <row r="15" spans="1:13" ht="26.25" customHeight="1" thickBot="1" x14ac:dyDescent="0.4">
      <c r="B15" s="70" t="s">
        <v>144</v>
      </c>
      <c r="C15" s="71"/>
      <c r="D15" s="71"/>
      <c r="E15" s="71"/>
      <c r="F15" s="71"/>
      <c r="G15" s="71"/>
      <c r="H15" s="71"/>
      <c r="I15" s="72"/>
    </row>
    <row r="17" spans="2:4" x14ac:dyDescent="0.25">
      <c r="B17" s="28" t="s">
        <v>0</v>
      </c>
      <c r="C17" s="28" t="s">
        <v>88</v>
      </c>
      <c r="D17" s="28" t="s">
        <v>106</v>
      </c>
    </row>
    <row r="18" spans="2:4" x14ac:dyDescent="0.25">
      <c r="B18" s="13" t="s">
        <v>78</v>
      </c>
      <c r="C18" s="14">
        <v>524800</v>
      </c>
      <c r="D18" s="14">
        <v>526940</v>
      </c>
    </row>
    <row r="19" spans="2:4" x14ac:dyDescent="0.25">
      <c r="B19" s="13" t="s">
        <v>79</v>
      </c>
      <c r="C19" s="14">
        <v>3445</v>
      </c>
      <c r="D19" s="14">
        <v>3445</v>
      </c>
    </row>
    <row r="20" spans="2:4" x14ac:dyDescent="0.25">
      <c r="B20" s="13" t="s">
        <v>80</v>
      </c>
      <c r="C20" s="14">
        <v>15000</v>
      </c>
      <c r="D20" s="14">
        <v>18000</v>
      </c>
    </row>
    <row r="33" spans="2:13" ht="15.75" thickBot="1" x14ac:dyDescent="0.3">
      <c r="B33" s="43"/>
      <c r="C33" s="44"/>
      <c r="D33" s="45"/>
      <c r="E33" s="40"/>
      <c r="F33" s="41"/>
      <c r="G33" s="41"/>
      <c r="H33" s="41"/>
      <c r="I33" s="33"/>
      <c r="J33" s="31"/>
      <c r="K33" s="32"/>
      <c r="L33" s="32"/>
      <c r="M33" s="33"/>
    </row>
    <row r="34" spans="2:13" ht="22.5" customHeight="1" thickBot="1" x14ac:dyDescent="0.4">
      <c r="B34" s="64" t="s">
        <v>134</v>
      </c>
      <c r="C34" s="65"/>
      <c r="D34" s="65"/>
      <c r="E34" s="65"/>
      <c r="F34" s="65"/>
      <c r="G34" s="65"/>
      <c r="H34" s="66"/>
      <c r="I34" s="42"/>
      <c r="J34" s="39"/>
      <c r="K34" s="34"/>
      <c r="L34" s="34"/>
      <c r="M34" s="35"/>
    </row>
    <row r="35" spans="2:13" x14ac:dyDescent="0.25">
      <c r="B35" s="29"/>
      <c r="D35" s="30"/>
      <c r="E35" s="40"/>
      <c r="F35" s="41"/>
      <c r="G35" s="41"/>
      <c r="H35" s="41"/>
      <c r="I35" s="38"/>
      <c r="J35" s="36"/>
      <c r="K35" s="37"/>
      <c r="L35" s="37"/>
      <c r="M35" s="38"/>
    </row>
    <row r="36" spans="2:13" x14ac:dyDescent="0.25">
      <c r="B36" s="28" t="s">
        <v>124</v>
      </c>
      <c r="C36" s="28" t="s">
        <v>125</v>
      </c>
    </row>
    <row r="37" spans="2:13" ht="21.75" customHeight="1" x14ac:dyDescent="0.25">
      <c r="B37" s="13" t="s">
        <v>126</v>
      </c>
      <c r="C37" s="14">
        <v>65633</v>
      </c>
    </row>
    <row r="38" spans="2:13" ht="21.75" customHeight="1" x14ac:dyDescent="0.25">
      <c r="B38" s="13" t="s">
        <v>127</v>
      </c>
      <c r="C38" s="14">
        <v>65688</v>
      </c>
    </row>
    <row r="39" spans="2:13" ht="21.75" customHeight="1" x14ac:dyDescent="0.25">
      <c r="B39" s="13" t="s">
        <v>128</v>
      </c>
      <c r="C39" s="14">
        <v>65688</v>
      </c>
    </row>
    <row r="40" spans="2:13" ht="21.75" customHeight="1" x14ac:dyDescent="0.25">
      <c r="B40" s="13" t="s">
        <v>129</v>
      </c>
      <c r="C40" s="14">
        <v>66253</v>
      </c>
    </row>
    <row r="41" spans="2:13" ht="21.75" customHeight="1" x14ac:dyDescent="0.25">
      <c r="B41" s="13" t="s">
        <v>130</v>
      </c>
      <c r="C41" s="14">
        <v>80653</v>
      </c>
    </row>
    <row r="42" spans="2:13" ht="21.75" customHeight="1" x14ac:dyDescent="0.25">
      <c r="B42" s="13" t="s">
        <v>131</v>
      </c>
      <c r="C42" s="14">
        <v>68738</v>
      </c>
    </row>
    <row r="43" spans="2:13" ht="21.75" customHeight="1" x14ac:dyDescent="0.25">
      <c r="B43" s="13" t="s">
        <v>132</v>
      </c>
      <c r="C43" s="14">
        <v>71208</v>
      </c>
    </row>
    <row r="44" spans="2:13" ht="21.75" customHeight="1" x14ac:dyDescent="0.25">
      <c r="B44" s="13" t="s">
        <v>133</v>
      </c>
      <c r="C44" s="14">
        <v>66698</v>
      </c>
    </row>
  </sheetData>
  <mergeCells count="5">
    <mergeCell ref="A1:M1"/>
    <mergeCell ref="E4:I4"/>
    <mergeCell ref="B34:H34"/>
    <mergeCell ref="B3:F3"/>
    <mergeCell ref="B15:I15"/>
  </mergeCells>
  <conditionalFormatting sqref="C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Budget</vt:lpstr>
      <vt:lpstr>Charts &amp; Visuals</vt:lpstr>
      <vt:lpstr>Budget vs Actual</vt:lpstr>
      <vt:lpstr>Financial Tracker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Kufre</dc:creator>
  <cp:lastModifiedBy>Kufre</cp:lastModifiedBy>
  <dcterms:created xsi:type="dcterms:W3CDTF">2025-11-18T07:22:19Z</dcterms:created>
  <dcterms:modified xsi:type="dcterms:W3CDTF">2025-12-18T11:24:19Z</dcterms:modified>
</cp:coreProperties>
</file>